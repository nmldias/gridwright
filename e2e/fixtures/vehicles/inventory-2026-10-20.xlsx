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VIN</v>
      </c>
      <c r="B1" t="str">
        <v>Model</v>
      </c>
      <c r="C1" t="str">
        <v>Days in stock</v>
      </c>
      <c r="D1" t="str">
        <v>Reserved</v>
      </c>
      <c r="E1" t="str">
        <v>Landed cost (Kz)</v>
      </c>
      <c r="F1" t="str">
        <v>Entry date</v>
      </c>
      <c r="G1" t="str">
        <v>Branch</v>
      </c>
      <c r="H1" t="str">
        <v>Reference</v>
      </c>
      <c r="I1" t="str">
        <v>Days (check)</v>
      </c>
    </row>
    <row r="2">
      <c r="A2" t="str">
        <v>00012345ABC</v>
      </c>
      <c r="B2" t="str">
        <v>Tucson</v>
      </c>
      <c r="C2">
        <v>134</v>
      </c>
      <c r="D2" t="str">
        <v>no</v>
      </c>
      <c r="E2">
        <v>24150009</v>
      </c>
      <c r="F2" t="str">
        <v>2026-07-06</v>
      </c>
      <c r="G2" t="str">
        <v>Luanda</v>
      </c>
      <c r="H2" t="str">
        <v>12345678901234567890</v>
      </c>
      <c r="I2">
        <f>C2*1</f>
        <v>134</v>
      </c>
    </row>
    <row r="3">
      <c r="A3" t="str">
        <v>KMHJ381ABNU012346</v>
      </c>
      <c r="B3" t="str">
        <v>Tucson</v>
      </c>
      <c r="C3">
        <v>109</v>
      </c>
      <c r="D3" t="str">
        <v>yes</v>
      </c>
      <c r="E3">
        <v>24150009</v>
      </c>
      <c r="F3" t="str">
        <v>2026-07-03</v>
      </c>
      <c r="G3" t="str">
        <v>Luanda</v>
      </c>
      <c r="H3" t="str">
        <v>12345678901234567891</v>
      </c>
      <c r="I3">
        <f>C3*1</f>
        <v>109</v>
      </c>
    </row>
    <row r="4">
      <c r="A4" t="str">
        <v>KMHJ381ABNU012347</v>
      </c>
      <c r="B4" t="str">
        <v>Creta</v>
      </c>
      <c r="C4">
        <v>109</v>
      </c>
      <c r="D4" t="str">
        <v>no</v>
      </c>
      <c r="E4">
        <v>18829981.5</v>
      </c>
      <c r="F4" t="str">
        <v>2026-07-01</v>
      </c>
      <c r="G4" t="str">
        <v>Luanda</v>
      </c>
      <c r="H4" t="str">
        <v>12345678901234567892</v>
      </c>
      <c r="I4">
        <f>C4*1</f>
        <v>109</v>
      </c>
    </row>
    <row r="5">
      <c r="A5" t="str">
        <v>WVWZZZ1KZBW123456</v>
      </c>
      <c r="B5" t="str">
        <v>Golf</v>
      </c>
      <c r="C5">
        <v>29</v>
      </c>
      <c r="D5" t="str">
        <v>no</v>
      </c>
      <c r="E5">
        <v>22785000</v>
      </c>
      <c r="F5" t="str">
        <v>2026-09-20</v>
      </c>
      <c r="G5" t="str">
        <v>Luanda</v>
      </c>
      <c r="H5" t="str">
        <v>12345678901234567893</v>
      </c>
      <c r="I5">
        <f>C5*1</f>
        <v>29</v>
      </c>
    </row>
    <row r="6">
      <c r="A6" t="str">
        <v>AHTEB3CD700012345</v>
      </c>
      <c r="B6" t="str">
        <v>Hilux</v>
      </c>
      <c r="C6">
        <v>74</v>
      </c>
      <c r="D6" t="str">
        <v>no</v>
      </c>
      <c r="E6">
        <v>540000000</v>
      </c>
      <c r="F6" t="str">
        <v>2026-08-05</v>
      </c>
      <c r="G6" t="str">
        <v>Luanda</v>
      </c>
      <c r="H6" t="str">
        <v>12345678901234567894</v>
      </c>
      <c r="I6">
        <f>C6*1</f>
        <v>74</v>
      </c>
    </row>
    <row r="7">
      <c r="A7" t="str">
        <v>JTDKN3DU0A0123456</v>
      </c>
      <c r="B7" t="str">
        <v>Corolla</v>
      </c>
      <c r="C7">
        <v>12</v>
      </c>
      <c r="D7" t="str">
        <v>no</v>
      </c>
      <c r="E7">
        <v>19500000</v>
      </c>
      <c r="F7" t="str">
        <v>2026-10-08</v>
      </c>
      <c r="G7" t="str">
        <v>Luanda</v>
      </c>
      <c r="H7" t="str">
        <v>12345678901234567895</v>
      </c>
      <c r="I7">
        <f>C7*1</f>
        <v>12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